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8"/>
  <workbookPr/>
  <mc:AlternateContent xmlns:mc="http://schemas.openxmlformats.org/markup-compatibility/2006">
    <mc:Choice Requires="x15">
      <x15ac:absPath xmlns:x15ac="http://schemas.microsoft.com/office/spreadsheetml/2010/11/ac" url="/Users/wanghley/Library/CloudStorage/Box-Box/2026S Project Aura Wanghley/"/>
    </mc:Choice>
  </mc:AlternateContent>
  <xr:revisionPtr revIDLastSave="0" documentId="13_ncr:1_{43BA4F35-DC75-274F-984E-9F5CB5CF3C27}" xr6:coauthVersionLast="47" xr6:coauthVersionMax="47" xr10:uidLastSave="{00000000-0000-0000-0000-000000000000}"/>
  <bookViews>
    <workbookView xWindow="0" yWindow="500" windowWidth="38400" windowHeight="23500" activeTab="1" xr2:uid="{00000000-000D-0000-FFFF-FFFF00000000}"/>
  </bookViews>
  <sheets>
    <sheet name="Project Aura BOM and Cost Analy" sheetId="1" r:id="rId1"/>
    <sheet name="Printing Contro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4" i="1" l="1"/>
  <c r="H7" i="1"/>
  <c r="H18" i="1"/>
  <c r="H10" i="1"/>
  <c r="H9" i="1"/>
  <c r="H8" i="1"/>
  <c r="H6" i="1"/>
  <c r="H5" i="1"/>
  <c r="H4" i="1"/>
  <c r="H3" i="1"/>
  <c r="H16" i="1"/>
  <c r="H15" i="1"/>
  <c r="F13" i="1"/>
  <c r="H13" i="1" s="1"/>
  <c r="H2" i="1"/>
  <c r="G12" i="1"/>
  <c r="H12" i="1" s="1"/>
  <c r="H11" i="1"/>
  <c r="H21" i="1" l="1"/>
</calcChain>
</file>

<file path=xl/sharedStrings.xml><?xml version="1.0" encoding="utf-8"?>
<sst xmlns="http://schemas.openxmlformats.org/spreadsheetml/2006/main" count="86" uniqueCount="57">
  <si>
    <t>Category</t>
  </si>
  <si>
    <t>Item Description</t>
  </si>
  <si>
    <t>Qty</t>
  </si>
  <si>
    <t>Unit Price</t>
  </si>
  <si>
    <t>Subtotal</t>
  </si>
  <si>
    <t>Networking</t>
  </si>
  <si>
    <t>TP-Link AX1500 Wi-Fi 6 Travel Router (TL-WR1502X)</t>
  </si>
  <si>
    <t>TP-Link TL-SG108 8-Port Gigabit Desktop Switch</t>
  </si>
  <si>
    <t>Power</t>
  </si>
  <si>
    <t>Total Estimated Cost</t>
  </si>
  <si>
    <t>URL</t>
  </si>
  <si>
    <t>https://www.amazon.com/dp/B0D41G5N95</t>
  </si>
  <si>
    <t>https://www.amazon.com/dp/B00A121WN6</t>
  </si>
  <si>
    <t>Tax</t>
  </si>
  <si>
    <t>Infrastructure</t>
  </si>
  <si>
    <t>Tecmojo 9U Network Rack, 10 inch Mini Server Rack</t>
  </si>
  <si>
    <t>https://www.amazon.com/dp/B0FX1VDY8T</t>
  </si>
  <si>
    <t>Grant</t>
  </si>
  <si>
    <t>Tax on grant</t>
  </si>
  <si>
    <t>Available</t>
  </si>
  <si>
    <t>10Gsupxsel Cat 6 Ethernet Cable 0.5FT</t>
  </si>
  <si>
    <t>https://www.amazon.com/dp/B0CQXDTSDM?th=1</t>
  </si>
  <si>
    <t>https://www.amazon.com/dp/B0FQP8G1VR</t>
  </si>
  <si>
    <t>10 Inch Rack PDU Power Strip 15A</t>
  </si>
  <si>
    <t>USB C Charger Block, 260W 7-Port Desktop USB C</t>
  </si>
  <si>
    <t>https://www.amazon.com/dp/B0CJBHM4YF?th=1</t>
  </si>
  <si>
    <t xml:space="preserve">NVIDIA Jetson Orin Nano Super Developer Kit </t>
  </si>
  <si>
    <t>https://www.amazon.com/NVIDIA-Jetson-Orin-Nano-Developer/dp/B0BZJTQ5YP?th=1</t>
  </si>
  <si>
    <t>Orange Pi 3B+ SoC Board</t>
  </si>
  <si>
    <t xml:space="preserve"> Raspberry 3B+ SoC Board</t>
  </si>
  <si>
    <t>Raspberry Pi 4 SoC Board</t>
  </si>
  <si>
    <t>NAS</t>
  </si>
  <si>
    <t xml:space="preserve">BestParts 8-Pack 8FKXC 2.5" SFF SAS SATA Hard Drive Tray Caddy Compatible with Dell PowerEdge T440 T640 T430 T630 T620 T710 R330 R530 R520 R710 R720 R720XD R310 R510 R515 R410 ME5012 MD3400 </t>
  </si>
  <si>
    <t>https://www.amazon.com/BestParts-8-Pack-Compatible-PowerEdge-R720XD/dp/B0F1N59KZP</t>
  </si>
  <si>
    <t>Seagate BarraCuda 4TB Internal Hard Drive HDD – 3.5 Inch</t>
  </si>
  <si>
    <t>https://makerworld.com/en/models/1446421-10-inch-rack-2u-6-x-3-5-inch-hdd-hot-swap</t>
  </si>
  <si>
    <t>https://www.amazon.com/Seagate-BarraCuda-Internal-Drive-3-5-Inch/dp/B07D9C7SQH</t>
  </si>
  <si>
    <t>10 inch Rack 2U : 6 x 3.5 inch HDD - HOT SWAP</t>
  </si>
  <si>
    <t>10" Server rack 1U panel - TP-Link TL-SG108E</t>
  </si>
  <si>
    <t>https://www.thingiverse.com/thing:7099814</t>
  </si>
  <si>
    <t>Done?</t>
  </si>
  <si>
    <t>T-Display S3</t>
  </si>
  <si>
    <t>https://lilygo.cc/en-us/products/t-display-s3?variant=42490279166133</t>
  </si>
  <si>
    <t>3D printer</t>
  </si>
  <si>
    <t>ETA</t>
  </si>
  <si>
    <t>Hours</t>
  </si>
  <si>
    <t>Design Lab</t>
  </si>
  <si>
    <t>RPI5 Face Plates</t>
  </si>
  <si>
    <t>Computing</t>
  </si>
  <si>
    <t>2U panel Enclosure front</t>
  </si>
  <si>
    <t>2/6 1300</t>
  </si>
  <si>
    <t>2/5 2300</t>
  </si>
  <si>
    <t>NA</t>
  </si>
  <si>
    <t>Computing 4x Caddy</t>
  </si>
  <si>
    <t>2/6 0100</t>
  </si>
  <si>
    <t>Status</t>
  </si>
  <si>
    <t>TODO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</si>
</sst>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9" x14ac:knownFonts="1">
    <font>
      <sz val="10"/>
      <color rgb="FF000000"/>
      <name val="Arial"/>
      <scheme val="minor"/>
    </font>
    <font>
      <sz val="10"/>
      <color theme="1"/>
      <name val="Arial"/>
      <family val="2"/>
      <scheme val="minor"/>
    </font>
    <font>
      <sz val="10"/>
      <color rgb="FF000000"/>
      <name val="Arial"/>
      <family val="2"/>
      <scheme val="minor"/>
    </font>
    <font>
      <sz val="10"/>
      <color theme="1"/>
      <name val="Arial"/>
      <family val="2"/>
      <scheme val="minor"/>
    </font>
    <font>
      <u/>
      <sz val="10"/>
      <color theme="10"/>
      <name val="Arial"/>
      <family val="2"/>
      <scheme val="minor"/>
    </font>
    <font>
      <sz val="10"/>
      <color rgb="FF000000"/>
      <name val="Arial"/>
      <family val="2"/>
      <scheme val="minor"/>
    </font>
    <font>
      <sz val="10"/>
      <color theme="0"/>
      <name val="Arial"/>
      <family val="2"/>
      <scheme val="minor"/>
    </font>
    <font>
      <b/>
      <sz val="10"/>
      <color theme="0"/>
      <name val="Arial"/>
      <family val="2"/>
      <scheme val="minor"/>
    </font>
    <font>
      <b/>
      <sz val="10"/>
      <color rgb="FF000000"/>
      <name val="Arial"/>
      <family val="2"/>
      <scheme val="minor"/>
    </font>
  </fonts>
  <fills count="4">
    <fill>
      <patternFill patternType="none"/>
    </fill>
    <fill>
      <patternFill patternType="gray125"/>
    </fill>
    <fill>
      <patternFill patternType="solid">
        <fgColor theme="0" tint="-0.499984740745262"/>
        <bgColor indexed="64"/>
      </patternFill>
    </fill>
    <fill>
      <patternFill patternType="solid">
        <fgColor theme="1"/>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4">
    <xf numFmtId="0" fontId="0" fillId="0" borderId="0"/>
    <xf numFmtId="44" fontId="2" fillId="0" borderId="0" applyFont="0" applyFill="0" applyBorder="0" applyAlignment="0" applyProtection="0"/>
    <xf numFmtId="9" fontId="2" fillId="0" borderId="0" applyFont="0" applyFill="0" applyBorder="0" applyAlignment="0" applyProtection="0"/>
    <xf numFmtId="0" fontId="4" fillId="0" borderId="0" applyNumberFormat="0" applyFill="0" applyBorder="0" applyAlignment="0" applyProtection="0"/>
  </cellStyleXfs>
  <cellXfs count="39">
    <xf numFmtId="0" fontId="0" fillId="0" borderId="0" xfId="0"/>
    <xf numFmtId="0" fontId="0" fillId="0" borderId="0" xfId="0" applyAlignment="1">
      <alignment wrapText="1"/>
    </xf>
    <xf numFmtId="44" fontId="0" fillId="0" borderId="0" xfId="0" applyNumberFormat="1"/>
    <xf numFmtId="0" fontId="6" fillId="0" borderId="0" xfId="0" applyFont="1"/>
    <xf numFmtId="0" fontId="6" fillId="0" borderId="1" xfId="0" applyFont="1" applyBorder="1"/>
    <xf numFmtId="0" fontId="6" fillId="0" borderId="2" xfId="0" applyFont="1" applyBorder="1" applyAlignment="1">
      <alignment wrapText="1"/>
    </xf>
    <xf numFmtId="0" fontId="6" fillId="0" borderId="2" xfId="0" applyFont="1" applyBorder="1"/>
    <xf numFmtId="44" fontId="6" fillId="0" borderId="2" xfId="0" applyNumberFormat="1" applyFont="1" applyBorder="1"/>
    <xf numFmtId="44" fontId="6" fillId="0" borderId="3" xfId="0" applyNumberFormat="1" applyFont="1" applyBorder="1"/>
    <xf numFmtId="0" fontId="1" fillId="0" borderId="4" xfId="0" applyFont="1" applyBorder="1"/>
    <xf numFmtId="0" fontId="1" fillId="0" borderId="0" xfId="0" applyFont="1" applyAlignment="1">
      <alignment wrapText="1"/>
    </xf>
    <xf numFmtId="0" fontId="4" fillId="0" borderId="0" xfId="3" applyBorder="1"/>
    <xf numFmtId="0" fontId="1" fillId="0" borderId="0" xfId="0" applyFont="1"/>
    <xf numFmtId="44" fontId="1" fillId="0" borderId="0" xfId="0" applyNumberFormat="1" applyFont="1"/>
    <xf numFmtId="44" fontId="0" fillId="0" borderId="5" xfId="0" applyNumberFormat="1" applyBorder="1"/>
    <xf numFmtId="0" fontId="3" fillId="0" borderId="4" xfId="0" applyFont="1" applyBorder="1"/>
    <xf numFmtId="0" fontId="5" fillId="0" borderId="0" xfId="0" applyFont="1" applyAlignment="1">
      <alignment wrapText="1"/>
    </xf>
    <xf numFmtId="0" fontId="3" fillId="0" borderId="0" xfId="0" applyFont="1"/>
    <xf numFmtId="0" fontId="3" fillId="0" borderId="0" xfId="0" applyFont="1" applyAlignment="1">
      <alignment wrapText="1"/>
    </xf>
    <xf numFmtId="44" fontId="8" fillId="2" borderId="5" xfId="0" applyNumberFormat="1" applyFont="1" applyFill="1" applyBorder="1"/>
    <xf numFmtId="44" fontId="8" fillId="2" borderId="5" xfId="1" applyFont="1" applyFill="1" applyBorder="1"/>
    <xf numFmtId="44" fontId="8" fillId="2" borderId="8" xfId="0" applyNumberFormat="1" applyFont="1" applyFill="1" applyBorder="1"/>
    <xf numFmtId="9" fontId="8" fillId="2" borderId="5" xfId="2" applyFont="1" applyFill="1" applyBorder="1"/>
    <xf numFmtId="44" fontId="5" fillId="0" borderId="0" xfId="0" applyNumberFormat="1" applyFont="1"/>
    <xf numFmtId="44" fontId="3" fillId="0" borderId="0" xfId="0" applyNumberFormat="1" applyFont="1"/>
    <xf numFmtId="0" fontId="4" fillId="0" borderId="0" xfId="3"/>
    <xf numFmtId="0" fontId="3" fillId="0" borderId="0" xfId="3" applyFont="1"/>
    <xf numFmtId="0" fontId="1" fillId="0" borderId="4" xfId="0" applyFont="1" applyBorder="1">
      <extLst>
        <ext xmlns:xfpb="http://schemas.microsoft.com/office/spreadsheetml/2022/featurepropertybag" uri="{C7286773-470A-42A8-94C5-96B5CB345126}">
          <xfpb:xfComplement i="0"/>
        </ext>
      </extLst>
    </xf>
    <xf numFmtId="0" fontId="3" fillId="0" borderId="4" xfId="0" applyFont="1" applyBorder="1">
      <extLst>
        <ext xmlns:xfpb="http://schemas.microsoft.com/office/spreadsheetml/2022/featurepropertybag" uri="{C7286773-470A-42A8-94C5-96B5CB345126}">
          <xfpb:xfComplement i="0"/>
        </ext>
      </extLst>
    </xf>
    <xf numFmtId="0" fontId="7" fillId="3" borderId="4" xfId="0" applyFont="1" applyFill="1" applyBorder="1" applyAlignment="1">
      <alignment horizontal="right"/>
    </xf>
    <xf numFmtId="0" fontId="7" fillId="3" borderId="0" xfId="0" applyFont="1" applyFill="1" applyAlignment="1">
      <alignment horizontal="right"/>
    </xf>
    <xf numFmtId="0" fontId="7" fillId="3" borderId="6" xfId="0" applyFont="1" applyFill="1" applyBorder="1" applyAlignment="1">
      <alignment horizontal="right"/>
    </xf>
    <xf numFmtId="0" fontId="7" fillId="3" borderId="7" xfId="0" applyFont="1" applyFill="1" applyBorder="1" applyAlignment="1">
      <alignment horizontal="right"/>
    </xf>
    <xf numFmtId="0" fontId="6" fillId="0" borderId="2" xfId="0" applyFont="1" applyBorder="1" applyAlignment="1"/>
    <xf numFmtId="0" fontId="4" fillId="0" borderId="0" xfId="3" applyBorder="1" applyAlignment="1"/>
    <xf numFmtId="0" fontId="1" fillId="0" borderId="0" xfId="0" applyFont="1" applyAlignment="1"/>
    <xf numFmtId="0" fontId="4" fillId="0" borderId="0" xfId="3" applyAlignment="1"/>
    <xf numFmtId="0" fontId="3" fillId="0" borderId="0" xfId="3" applyFont="1" applyAlignment="1"/>
    <xf numFmtId="0" fontId="0" fillId="0" borderId="0" xfId="0" applyAlignment="1"/>
  </cellXfs>
  <cellStyles count="4">
    <cellStyle name="Currency" xfId="1" builtinId="4"/>
    <cellStyle name="Hyperlink" xfId="3" builtinId="8"/>
    <cellStyle name="Normal" xfId="0" builtinId="0"/>
    <cellStyle name="Percent" xfId="2" builtinId="5"/>
  </cellStyles>
  <dxfs count="19">
    <dxf>
      <font>
        <b val="0"/>
        <i val="0"/>
        <strike val="0"/>
        <condense val="0"/>
        <extend val="0"/>
        <outline val="0"/>
        <shadow val="0"/>
        <u val="none"/>
        <vertAlign val="baseline"/>
        <sz val="10"/>
        <color theme="1"/>
        <name val="Arial"/>
        <scheme val="minor"/>
      </font>
      <extLst>
        <ext xmlns:xfpb="http://schemas.microsoft.com/office/spreadsheetml/2022/featurepropertybag" uri="{0417FA29-78FA-4A13-93AC-8FF0FAFDF519}">
          <xfpb:DXFComplement i="0"/>
        </ext>
      </extLs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scheme val="minor"/>
      </font>
      <alignment vertical="bottom" textRotation="0" wrapText="0" indent="0" justifyLastLine="0" shrinkToFit="0" readingOrder="0"/>
    </dxf>
    <dxf>
      <font>
        <color rgb="FF006100"/>
      </font>
      <fill>
        <patternFill>
          <bgColor rgb="FFC6EFCE"/>
        </patternFill>
      </fill>
    </dxf>
    <dxf>
      <font>
        <color rgb="FF9C0006"/>
      </font>
      <fill>
        <patternFill>
          <bgColor rgb="FFFFC7CE"/>
        </patternFill>
      </fill>
    </dxf>
    <dxf>
      <font>
        <b val="0"/>
        <i val="0"/>
        <strike val="0"/>
        <condense val="0"/>
        <extend val="0"/>
        <outline val="0"/>
        <shadow val="0"/>
        <u val="none"/>
        <vertAlign val="baseline"/>
        <sz val="10"/>
        <color theme="1"/>
        <name val="Arial"/>
        <scheme val="minor"/>
      </font>
      <numFmt numFmtId="34" formatCode="_(&quot;$&quot;* #,##0.00_);_(&quot;$&quot;* \(#,##0.00\);_(&quot;$&quot;* &quot;-&quot;??_);_(@_)"/>
    </dxf>
    <dxf>
      <font>
        <b val="0"/>
        <i val="0"/>
        <strike val="0"/>
        <condense val="0"/>
        <extend val="0"/>
        <outline val="0"/>
        <shadow val="0"/>
        <u val="none"/>
        <vertAlign val="baseline"/>
        <sz val="10"/>
        <color theme="1"/>
        <name val="Arial"/>
        <scheme val="minor"/>
      </font>
      <numFmt numFmtId="34" formatCode="_(&quot;$&quot;* #,##0.00_);_(&quot;$&quot;* \(#,##0.00\);_(&quot;$&quot;* &quot;-&quot;??_);_(@_)"/>
    </dxf>
    <dxf>
      <font>
        <b val="0"/>
        <i val="0"/>
        <strike val="0"/>
        <condense val="0"/>
        <extend val="0"/>
        <outline val="0"/>
        <shadow val="0"/>
        <u val="none"/>
        <vertAlign val="baseline"/>
        <sz val="10"/>
        <color theme="1"/>
        <name val="Arial"/>
        <family val="2"/>
        <scheme val="minor"/>
      </font>
      <border diagonalUp="0" diagonalDown="0">
        <left style="thin">
          <color indexed="64"/>
        </left>
        <right/>
        <top/>
        <bottom/>
        <vertical/>
        <horizontal/>
      </border>
    </dxf>
    <dxf>
      <font>
        <strike val="0"/>
        <outline val="0"/>
        <shadow val="0"/>
        <u val="none"/>
        <vertAlign val="baseline"/>
        <sz val="10"/>
        <color theme="0"/>
        <name val="Arial"/>
        <scheme val="minor"/>
      </font>
    </dxf>
    <dxf>
      <numFmt numFmtId="34" formatCode="_(&quot;$&quot;* #,##0.00_);_(&quot;$&quot;* \(#,##0.00\);_(&quot;$&quot;* &quot;-&quot;??_);_(@_)"/>
    </dxf>
    <dxf>
      <font>
        <b val="0"/>
        <i val="0"/>
        <strike val="0"/>
        <condense val="0"/>
        <extend val="0"/>
        <outline val="0"/>
        <shadow val="0"/>
        <u val="none"/>
        <vertAlign val="baseline"/>
        <sz val="10"/>
        <color theme="1"/>
        <name val="Arial"/>
        <scheme val="minor"/>
      </font>
      <numFmt numFmtId="34" formatCode="_(&quot;$&quot;* #,##0.00_);_(&quot;$&quot;* \(#,##0.00\);_(&quot;$&quot;* &quot;-&quot;??_);_(@_)"/>
    </dxf>
    <dxf>
      <font>
        <b val="0"/>
        <i val="0"/>
        <strike val="0"/>
        <condense val="0"/>
        <extend val="0"/>
        <outline val="0"/>
        <shadow val="0"/>
        <u val="none"/>
        <vertAlign val="baseline"/>
        <sz val="10"/>
        <color theme="1"/>
        <name val="Arial"/>
        <scheme val="minor"/>
      </font>
      <numFmt numFmtId="34" formatCode="_(&quot;$&quot;* #,##0.00_);_(&quot;$&quot;* \(#,##0.00\);_(&quot;$&quot;* &quot;-&quot;??_);_(@_)"/>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dxf>
    <dxf>
      <font>
        <b val="0"/>
        <i val="0"/>
        <strike val="0"/>
        <condense val="0"/>
        <extend val="0"/>
        <outline val="0"/>
        <shadow val="0"/>
        <u val="none"/>
        <vertAlign val="baseline"/>
        <sz val="10"/>
        <color theme="1"/>
        <name val="Arial"/>
        <scheme val="minor"/>
      </font>
      <alignment horizontal="general" vertical="bottom" textRotation="0" wrapText="1" indent="0" justifyLastLine="0" shrinkToFit="0" readingOrder="0"/>
    </dxf>
    <dxf>
      <font>
        <b val="0"/>
        <i val="0"/>
        <strike val="0"/>
        <condense val="0"/>
        <extend val="0"/>
        <outline val="0"/>
        <shadow val="0"/>
        <u val="none"/>
        <vertAlign val="baseline"/>
        <sz val="10"/>
        <color theme="1"/>
        <name val="Arial"/>
        <family val="2"/>
        <scheme val="minor"/>
      </font>
      <border diagonalUp="0" diagonalDown="0">
        <left style="thin">
          <color indexed="64"/>
        </left>
        <right/>
        <top/>
        <bottom/>
        <vertical/>
        <horizontal/>
      </border>
    </dxf>
    <dxf>
      <font>
        <b val="0"/>
        <i val="0"/>
        <strike val="0"/>
        <condense val="0"/>
        <extend val="0"/>
        <outline val="0"/>
        <shadow val="0"/>
        <u val="none"/>
        <vertAlign val="baseline"/>
        <sz val="10"/>
        <color theme="1"/>
        <name val="Arial"/>
        <scheme val="minor"/>
      </font>
    </dxf>
    <dxf>
      <font>
        <strike val="0"/>
        <outline val="0"/>
        <shadow val="0"/>
        <u val="none"/>
        <vertAlign val="baseline"/>
        <sz val="10"/>
        <color theme="0"/>
        <name val="Arial"/>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XFControls"/>
  <bag type="XFComplement">
    <bagId k="XFControls">4</bagId>
  </bag>
  <bag type="DXFComplements" extRef="DXFComplementsMapperExtRef">
    <a k="MappedFeaturePropertyBags">
      <bagId>5</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47859BE-6BB7-534D-80B4-B61AF63C751B}" name="Table2" displayName="Table2" ref="A1:H17" totalsRowShown="0" headerRowDxfId="18">
  <autoFilter ref="A1:H17" xr:uid="{D47859BE-6BB7-534D-80B4-B61AF63C751B}"/>
  <sortState xmlns:xlrd2="http://schemas.microsoft.com/office/spreadsheetml/2017/richdata2" ref="A2:H17">
    <sortCondition ref="B1:B17"/>
  </sortState>
  <tableColumns count="8">
    <tableColumn id="1" xr3:uid="{49D9D384-EE1F-034A-9952-0B533F019212}" name="Done?" dataDxfId="17"/>
    <tableColumn id="8" xr3:uid="{FB60C8A8-9C9A-8842-8A2D-98B91881F11E}" name="Category" dataDxfId="16"/>
    <tableColumn id="2" xr3:uid="{AC064008-5B49-4E44-B63F-FC0701D1198D}" name="Item Description" dataDxfId="15"/>
    <tableColumn id="3" xr3:uid="{7D16EA91-52EC-C143-923B-414024E8FAD9}" name="URL" dataDxfId="14"/>
    <tableColumn id="4" xr3:uid="{61CED368-5179-AB4D-816C-8D4D2AC8681D}" name="Qty" dataDxfId="13"/>
    <tableColumn id="5" xr3:uid="{90E3B15C-F81F-E849-9262-A9D42181362D}" name="Unit Price" dataDxfId="12"/>
    <tableColumn id="6" xr3:uid="{C88FB82A-1D3E-0545-B028-6CDDD926AD53}" name="Tax" dataDxfId="11"/>
    <tableColumn id="7" xr3:uid="{3FA043FF-A175-6844-90A3-AA261E7C320B}" name="Subtotal" dataDxfId="10"/>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BF5193-0C2D-D04C-955E-4A59AD14ACCE}" name="Table22" displayName="Table22" ref="A1:G17" totalsRowShown="0" headerRowDxfId="9">
  <autoFilter ref="A1:G17" xr:uid="{71BF5193-0C2D-D04C-955E-4A59AD14ACCE}"/>
  <sortState xmlns:xlrd2="http://schemas.microsoft.com/office/spreadsheetml/2017/richdata2" ref="A2:G17">
    <sortCondition ref="B1:B17"/>
  </sortState>
  <tableColumns count="7">
    <tableColumn id="1" xr3:uid="{42996952-1744-8240-9B67-403703FF7FC8}" name="Status" dataDxfId="0"/>
    <tableColumn id="8" xr3:uid="{18BA7CBE-DBE3-4E4D-85B5-0CBCD45569A7}" name="Category" dataDxfId="8"/>
    <tableColumn id="2" xr3:uid="{30EB7736-CEE9-144E-ACB4-59E1082FE348}" name="Item Description" dataDxfId="2"/>
    <tableColumn id="3" xr3:uid="{2DF395FF-EF7C-BA4E-9A8C-2782C46DADF7}" name="URL" dataDxfId="3"/>
    <tableColumn id="4" xr3:uid="{CDDB0213-542C-F64B-A7FF-B18AB7406D12}" name="Hours" dataDxfId="1"/>
    <tableColumn id="5" xr3:uid="{5CDE7CAA-F884-F84B-8E13-27A90E4AE0EB}" name="3D printer" dataDxfId="7"/>
    <tableColumn id="6" xr3:uid="{7E87423A-23D0-4C45-9F38-49413832CF03}" name="ETA" dataDxfId="6"/>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com/BestParts-8-Pack-Compatible-PowerEdge-R720XD/dp/B0F1N59KZP" TargetMode="External"/><Relationship Id="rId13" Type="http://schemas.openxmlformats.org/officeDocument/2006/relationships/table" Target="../tables/table1.xml"/><Relationship Id="rId3" Type="http://schemas.openxmlformats.org/officeDocument/2006/relationships/hyperlink" Target="https://www.amazon.com/dp/B0FX1VDY8T" TargetMode="External"/><Relationship Id="rId7" Type="http://schemas.openxmlformats.org/officeDocument/2006/relationships/hyperlink" Target="https://www.amazon.com/NVIDIA-Jetson-Orin-Nano-Developer/dp/B0BZJTQ5YP?th=1" TargetMode="External"/><Relationship Id="rId12" Type="http://schemas.openxmlformats.org/officeDocument/2006/relationships/hyperlink" Target="https://lilygo.cc/en-us/products/t-display-s3?variant=42490279166133" TargetMode="External"/><Relationship Id="rId2" Type="http://schemas.openxmlformats.org/officeDocument/2006/relationships/hyperlink" Target="https://www.amazon.com/dp/B00A121WN6" TargetMode="External"/><Relationship Id="rId1" Type="http://schemas.openxmlformats.org/officeDocument/2006/relationships/hyperlink" Target="https://www.amazon.com/dp/B0D41G5N95" TargetMode="External"/><Relationship Id="rId6" Type="http://schemas.openxmlformats.org/officeDocument/2006/relationships/hyperlink" Target="https://www.amazon.com/dp/B0CJBHM4YF?th=1" TargetMode="External"/><Relationship Id="rId11" Type="http://schemas.openxmlformats.org/officeDocument/2006/relationships/hyperlink" Target="https://www.thingiverse.com/thing:7099814" TargetMode="External"/><Relationship Id="rId5" Type="http://schemas.openxmlformats.org/officeDocument/2006/relationships/hyperlink" Target="https://www.amazon.com/dp/B0FQP8G1VR" TargetMode="External"/><Relationship Id="rId10" Type="http://schemas.openxmlformats.org/officeDocument/2006/relationships/hyperlink" Target="https://makerworld.com/en/models/1446421-10-inch-rack-2u-6-x-3-5-inch-hdd-hot-swap" TargetMode="External"/><Relationship Id="rId4" Type="http://schemas.openxmlformats.org/officeDocument/2006/relationships/hyperlink" Target="https://www.amazon.com/dp/B0CQXDTSDM?th=1" TargetMode="External"/><Relationship Id="rId9" Type="http://schemas.openxmlformats.org/officeDocument/2006/relationships/hyperlink" Target="https://www.amazon.com/Seagate-BarraCuda-Internal-Drive-3-5-Inch/dp/B07D9C7SQH"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makerworld.com/en/models/1446421-10-inch-rack-2u-6-x-3-5-inch-hdd-hot-swa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H22"/>
  <sheetViews>
    <sheetView zoomScale="220" zoomScaleNormal="220" workbookViewId="0">
      <selection activeCell="B10" sqref="B10:D10"/>
    </sheetView>
  </sheetViews>
  <sheetFormatPr baseColWidth="10" defaultColWidth="12.6640625" defaultRowHeight="15.75" customHeight="1" x14ac:dyDescent="0.15"/>
  <cols>
    <col min="1" max="1" width="7.6640625" customWidth="1"/>
    <col min="2" max="2" width="18.5" customWidth="1"/>
    <col min="3" max="3" width="44.6640625" style="1" customWidth="1"/>
    <col min="4" max="4" width="18.1640625" customWidth="1"/>
    <col min="6" max="8" width="12.6640625" style="2"/>
  </cols>
  <sheetData>
    <row r="1" spans="1:8" s="3" customFormat="1" ht="15.75" customHeight="1" x14ac:dyDescent="0.15">
      <c r="A1" s="4" t="s">
        <v>40</v>
      </c>
      <c r="B1" s="4" t="s">
        <v>0</v>
      </c>
      <c r="C1" s="5" t="s">
        <v>1</v>
      </c>
      <c r="D1" s="6" t="s">
        <v>10</v>
      </c>
      <c r="E1" s="6" t="s">
        <v>2</v>
      </c>
      <c r="F1" s="7" t="s">
        <v>3</v>
      </c>
      <c r="G1" s="7" t="s">
        <v>13</v>
      </c>
      <c r="H1" s="8" t="s">
        <v>4</v>
      </c>
    </row>
    <row r="2" spans="1:8" ht="15.75" customHeight="1" x14ac:dyDescent="0.15">
      <c r="A2" s="27" t="b">
        <v>1</v>
      </c>
      <c r="B2" s="15" t="s">
        <v>14</v>
      </c>
      <c r="C2" s="10" t="s">
        <v>15</v>
      </c>
      <c r="D2" s="11" t="s">
        <v>16</v>
      </c>
      <c r="E2" s="12">
        <v>1</v>
      </c>
      <c r="F2" s="13">
        <v>119.9</v>
      </c>
      <c r="G2" s="13">
        <v>8.98618688</v>
      </c>
      <c r="H2" s="14">
        <f t="shared" ref="H2:H16" si="0">G2+F2*E2</f>
        <v>128.88618688</v>
      </c>
    </row>
    <row r="3" spans="1:8" ht="15.75" customHeight="1" x14ac:dyDescent="0.15">
      <c r="A3" s="27" t="b">
        <v>0</v>
      </c>
      <c r="B3" s="15" t="s">
        <v>14</v>
      </c>
      <c r="C3" s="18" t="s">
        <v>26</v>
      </c>
      <c r="D3" s="11" t="s">
        <v>27</v>
      </c>
      <c r="E3" s="12">
        <v>1</v>
      </c>
      <c r="F3" s="13">
        <v>249</v>
      </c>
      <c r="G3" s="13">
        <v>18.68</v>
      </c>
      <c r="H3" s="14">
        <f t="shared" si="0"/>
        <v>267.68</v>
      </c>
    </row>
    <row r="4" spans="1:8" ht="15.75" customHeight="1" x14ac:dyDescent="0.15">
      <c r="A4" s="27" t="b">
        <v>1</v>
      </c>
      <c r="B4" s="15" t="s">
        <v>14</v>
      </c>
      <c r="C4" s="18" t="s">
        <v>28</v>
      </c>
      <c r="D4" s="12"/>
      <c r="E4" s="12">
        <v>1</v>
      </c>
      <c r="F4" s="13">
        <v>0</v>
      </c>
      <c r="G4" s="13">
        <v>0</v>
      </c>
      <c r="H4" s="14">
        <f t="shared" si="0"/>
        <v>0</v>
      </c>
    </row>
    <row r="5" spans="1:8" ht="15.75" customHeight="1" x14ac:dyDescent="0.15">
      <c r="A5" s="27" t="b">
        <v>1</v>
      </c>
      <c r="B5" s="15" t="s">
        <v>14</v>
      </c>
      <c r="C5" s="18" t="s">
        <v>29</v>
      </c>
      <c r="D5" s="12"/>
      <c r="E5" s="12">
        <v>1</v>
      </c>
      <c r="F5" s="13">
        <v>0</v>
      </c>
      <c r="G5" s="13">
        <v>0</v>
      </c>
      <c r="H5" s="14">
        <f t="shared" si="0"/>
        <v>0</v>
      </c>
    </row>
    <row r="6" spans="1:8" ht="15.75" customHeight="1" x14ac:dyDescent="0.15">
      <c r="A6" s="27" t="b">
        <v>1</v>
      </c>
      <c r="B6" s="15" t="s">
        <v>14</v>
      </c>
      <c r="C6" s="18" t="s">
        <v>30</v>
      </c>
      <c r="D6" s="12"/>
      <c r="E6" s="12"/>
      <c r="F6" s="13">
        <v>0</v>
      </c>
      <c r="G6" s="13">
        <v>0</v>
      </c>
      <c r="H6" s="14">
        <f t="shared" si="0"/>
        <v>0</v>
      </c>
    </row>
    <row r="7" spans="1:8" ht="15.75" customHeight="1" x14ac:dyDescent="0.15">
      <c r="A7" s="27" t="b">
        <v>0</v>
      </c>
      <c r="B7" s="15" t="s">
        <v>14</v>
      </c>
      <c r="C7" s="18" t="s">
        <v>41</v>
      </c>
      <c r="D7" s="25" t="s">
        <v>42</v>
      </c>
      <c r="E7" s="17">
        <v>1</v>
      </c>
      <c r="F7" s="24">
        <v>13</v>
      </c>
      <c r="G7" s="24">
        <v>0</v>
      </c>
      <c r="H7" s="14">
        <f t="shared" si="0"/>
        <v>13</v>
      </c>
    </row>
    <row r="8" spans="1:8" ht="15.75" customHeight="1" x14ac:dyDescent="0.15">
      <c r="A8" s="27" t="b">
        <v>0</v>
      </c>
      <c r="B8" s="15" t="s">
        <v>31</v>
      </c>
      <c r="C8" s="10" t="s">
        <v>32</v>
      </c>
      <c r="D8" s="25" t="s">
        <v>33</v>
      </c>
      <c r="E8" s="12">
        <v>1</v>
      </c>
      <c r="F8" s="13">
        <v>36.99</v>
      </c>
      <c r="G8" s="13">
        <v>0</v>
      </c>
      <c r="H8" s="14">
        <f t="shared" si="0"/>
        <v>36.99</v>
      </c>
    </row>
    <row r="9" spans="1:8" ht="15.75" customHeight="1" x14ac:dyDescent="0.15">
      <c r="A9" s="27" t="b">
        <v>0</v>
      </c>
      <c r="B9" s="15" t="s">
        <v>31</v>
      </c>
      <c r="C9" s="18" t="s">
        <v>34</v>
      </c>
      <c r="D9" s="25" t="s">
        <v>36</v>
      </c>
      <c r="E9" s="17">
        <v>6</v>
      </c>
      <c r="F9" s="24">
        <v>79.989999999999995</v>
      </c>
      <c r="G9" s="13">
        <v>0</v>
      </c>
      <c r="H9" s="14">
        <f t="shared" si="0"/>
        <v>479.93999999999994</v>
      </c>
    </row>
    <row r="10" spans="1:8" ht="15.75" customHeight="1" x14ac:dyDescent="0.15">
      <c r="A10" s="27" t="b">
        <v>0</v>
      </c>
      <c r="B10" s="15" t="s">
        <v>31</v>
      </c>
      <c r="C10" s="18" t="s">
        <v>37</v>
      </c>
      <c r="D10" s="25" t="s">
        <v>35</v>
      </c>
      <c r="E10" s="17">
        <v>1</v>
      </c>
      <c r="F10" s="24">
        <v>0</v>
      </c>
      <c r="G10" s="24">
        <v>0</v>
      </c>
      <c r="H10" s="14">
        <f t="shared" si="0"/>
        <v>0</v>
      </c>
    </row>
    <row r="11" spans="1:8" ht="15.75" customHeight="1" x14ac:dyDescent="0.15">
      <c r="A11" s="27" t="b">
        <v>1</v>
      </c>
      <c r="B11" s="9" t="s">
        <v>5</v>
      </c>
      <c r="C11" s="10" t="s">
        <v>6</v>
      </c>
      <c r="D11" s="11" t="s">
        <v>11</v>
      </c>
      <c r="E11" s="12">
        <v>1</v>
      </c>
      <c r="F11" s="13">
        <v>19.989999999999998</v>
      </c>
      <c r="G11" s="13">
        <v>1.49831779</v>
      </c>
      <c r="H11" s="14">
        <f t="shared" si="0"/>
        <v>21.48831779</v>
      </c>
    </row>
    <row r="12" spans="1:8" ht="15.75" customHeight="1" x14ac:dyDescent="0.15">
      <c r="A12" s="27" t="b">
        <v>1</v>
      </c>
      <c r="B12" s="9" t="s">
        <v>5</v>
      </c>
      <c r="C12" s="18" t="s">
        <v>7</v>
      </c>
      <c r="D12" s="11" t="s">
        <v>12</v>
      </c>
      <c r="E12" s="12">
        <v>1</v>
      </c>
      <c r="F12" s="13">
        <v>38.979999999999997</v>
      </c>
      <c r="G12" s="13">
        <f>4.42-G11</f>
        <v>2.9216822100000002</v>
      </c>
      <c r="H12" s="14">
        <f t="shared" si="0"/>
        <v>41.901682209999997</v>
      </c>
    </row>
    <row r="13" spans="1:8" ht="15.75" customHeight="1" x14ac:dyDescent="0.15">
      <c r="A13" s="27" t="b">
        <v>1</v>
      </c>
      <c r="B13" s="9" t="s">
        <v>5</v>
      </c>
      <c r="C13" s="10" t="s">
        <v>20</v>
      </c>
      <c r="D13" s="11" t="s">
        <v>21</v>
      </c>
      <c r="E13" s="12">
        <v>10</v>
      </c>
      <c r="F13" s="13">
        <f>13.49/10</f>
        <v>1.349</v>
      </c>
      <c r="G13" s="13">
        <v>1.0110397099999999</v>
      </c>
      <c r="H13" s="14">
        <f t="shared" si="0"/>
        <v>14.501039710000001</v>
      </c>
    </row>
    <row r="14" spans="1:8" ht="15.75" customHeight="1" x14ac:dyDescent="0.15">
      <c r="A14" s="27" t="b">
        <v>0</v>
      </c>
      <c r="B14" s="15" t="s">
        <v>5</v>
      </c>
      <c r="C14" s="10" t="s">
        <v>38</v>
      </c>
      <c r="D14" s="25" t="s">
        <v>39</v>
      </c>
      <c r="E14" s="12">
        <v>1</v>
      </c>
      <c r="F14" s="13">
        <v>0</v>
      </c>
      <c r="G14" s="13">
        <v>0</v>
      </c>
      <c r="H14" s="14">
        <f t="shared" si="0"/>
        <v>0</v>
      </c>
    </row>
    <row r="15" spans="1:8" ht="15.75" customHeight="1" x14ac:dyDescent="0.15">
      <c r="A15" s="27" t="b">
        <v>1</v>
      </c>
      <c r="B15" s="15" t="s">
        <v>8</v>
      </c>
      <c r="C15" s="16" t="s">
        <v>23</v>
      </c>
      <c r="D15" s="11" t="s">
        <v>22</v>
      </c>
      <c r="E15" s="17">
        <v>1</v>
      </c>
      <c r="F15" s="2">
        <v>46.99</v>
      </c>
      <c r="G15" s="2">
        <v>3.5217758300000002</v>
      </c>
      <c r="H15" s="14">
        <f t="shared" si="0"/>
        <v>50.511775830000005</v>
      </c>
    </row>
    <row r="16" spans="1:8" ht="15.75" customHeight="1" x14ac:dyDescent="0.15">
      <c r="A16" s="27" t="b">
        <v>1</v>
      </c>
      <c r="B16" s="15" t="s">
        <v>8</v>
      </c>
      <c r="C16" s="16" t="s">
        <v>24</v>
      </c>
      <c r="D16" s="11" t="s">
        <v>25</v>
      </c>
      <c r="E16" s="17">
        <v>1</v>
      </c>
      <c r="F16" s="2">
        <v>15.88</v>
      </c>
      <c r="G16" s="2">
        <v>1.1901638699999999</v>
      </c>
      <c r="H16" s="14">
        <f t="shared" si="0"/>
        <v>17.070163870000002</v>
      </c>
    </row>
    <row r="17" spans="1:8" ht="15.75" customHeight="1" x14ac:dyDescent="0.15">
      <c r="A17" s="28" t="b">
        <v>0</v>
      </c>
      <c r="B17" s="15"/>
      <c r="C17" s="18"/>
      <c r="D17" s="26"/>
      <c r="E17" s="17"/>
      <c r="F17" s="24"/>
      <c r="G17" s="24"/>
      <c r="H17" s="14"/>
    </row>
    <row r="18" spans="1:8" ht="15.75" customHeight="1" x14ac:dyDescent="0.15">
      <c r="A18" s="29" t="s">
        <v>9</v>
      </c>
      <c r="B18" s="30"/>
      <c r="C18" s="30"/>
      <c r="D18" s="30"/>
      <c r="E18" s="30"/>
      <c r="F18" s="30"/>
      <c r="G18" s="30"/>
      <c r="H18" s="19">
        <f>SUMIF(Table2[Done?],TRUE,Table2[Subtotal])</f>
        <v>274.35916628999996</v>
      </c>
    </row>
    <row r="19" spans="1:8" ht="15.75" customHeight="1" x14ac:dyDescent="0.15">
      <c r="A19" s="29" t="s">
        <v>17</v>
      </c>
      <c r="B19" s="30"/>
      <c r="C19" s="30"/>
      <c r="D19" s="30"/>
      <c r="E19" s="30"/>
      <c r="F19" s="30"/>
      <c r="G19" s="30"/>
      <c r="H19" s="20">
        <v>610</v>
      </c>
    </row>
    <row r="20" spans="1:8" ht="15.75" customHeight="1" x14ac:dyDescent="0.15">
      <c r="A20" s="29" t="s">
        <v>18</v>
      </c>
      <c r="B20" s="30"/>
      <c r="C20" s="30"/>
      <c r="D20" s="30"/>
      <c r="E20" s="30"/>
      <c r="F20" s="30"/>
      <c r="G20" s="30"/>
      <c r="H20" s="22">
        <v>0.14000000000000001</v>
      </c>
    </row>
    <row r="21" spans="1:8" ht="15.75" customHeight="1" x14ac:dyDescent="0.15">
      <c r="A21" s="31" t="s">
        <v>19</v>
      </c>
      <c r="B21" s="32"/>
      <c r="C21" s="32"/>
      <c r="D21" s="32"/>
      <c r="E21" s="32"/>
      <c r="F21" s="32"/>
      <c r="G21" s="32"/>
      <c r="H21" s="21">
        <f>(1-H20)*H19-H18</f>
        <v>250.24083371000006</v>
      </c>
    </row>
    <row r="22" spans="1:8" ht="15.75" customHeight="1" x14ac:dyDescent="0.15">
      <c r="H22" s="23"/>
    </row>
  </sheetData>
  <mergeCells count="4">
    <mergeCell ref="A18:G18"/>
    <mergeCell ref="A19:G19"/>
    <mergeCell ref="A20:G20"/>
    <mergeCell ref="A21:G21"/>
  </mergeCells>
  <conditionalFormatting sqref="H18:H21">
    <cfRule type="cellIs" dxfId="5" priority="1" operator="lessThan">
      <formula>0</formula>
    </cfRule>
    <cfRule type="cellIs" dxfId="4" priority="2" operator="greaterThan">
      <formula>0</formula>
    </cfRule>
  </conditionalFormatting>
  <hyperlinks>
    <hyperlink ref="D11" r:id="rId1" xr:uid="{B632E1C2-F975-B949-9C69-662F970847A1}"/>
    <hyperlink ref="D12" r:id="rId2" xr:uid="{47A5E9EE-3E45-9D44-A341-32130DFAEEB7}"/>
    <hyperlink ref="D2" r:id="rId3" xr:uid="{734FA411-8038-FE43-9882-31DA2DC4D34A}"/>
    <hyperlink ref="D13" r:id="rId4" xr:uid="{E1947D19-7267-0442-A64B-4920E50C48CA}"/>
    <hyperlink ref="D15" r:id="rId5" xr:uid="{31574CDF-FC3C-CF47-A864-AC1CCBEF28B3}"/>
    <hyperlink ref="D16" r:id="rId6" xr:uid="{D65F64E1-7D36-D140-9C40-2760F8B6D41E}"/>
    <hyperlink ref="D3" r:id="rId7" xr:uid="{D27CC40E-2967-3B4B-8C50-501A9E5D8E32}"/>
    <hyperlink ref="D8" r:id="rId8" xr:uid="{FF6C0F2F-A8DD-8742-B3BE-A2E7D4FF1980}"/>
    <hyperlink ref="D9" r:id="rId9" xr:uid="{9E4D0E37-5E21-F949-8521-D7804D97CA8A}"/>
    <hyperlink ref="D10" r:id="rId10" xr:uid="{45F19850-F266-EB40-9D77-6A48B862DDAE}"/>
    <hyperlink ref="D14" r:id="rId11" xr:uid="{1BE196E7-4B00-434A-8B4B-D7B5B6B6289D}"/>
    <hyperlink ref="D7" r:id="rId12" xr:uid="{994B5D16-05E9-3F4D-A41F-06112378019E}"/>
  </hyperlinks>
  <pageMargins left="0.7" right="0.7" top="0.75" bottom="0.75" header="0.3" footer="0.3"/>
  <pageSetup orientation="portrait" horizontalDpi="0" verticalDpi="0"/>
  <tableParts count="1">
    <tablePart r:id="rId1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2B159E-20BD-CE4F-BE6A-C6F0B28FC839}">
  <dimension ref="A1:G21"/>
  <sheetViews>
    <sheetView tabSelected="1" zoomScale="190" zoomScaleNormal="190" workbookViewId="0">
      <selection activeCell="D6" sqref="D6"/>
    </sheetView>
  </sheetViews>
  <sheetFormatPr baseColWidth="10" defaultRowHeight="13" x14ac:dyDescent="0.15"/>
  <cols>
    <col min="1" max="1" width="13.1640625" customWidth="1"/>
    <col min="2" max="2" width="18.5" customWidth="1"/>
    <col min="3" max="3" width="44.6640625" style="1" customWidth="1"/>
    <col min="4" max="4" width="18.1640625" style="38" customWidth="1"/>
    <col min="6" max="7" width="10.83203125" style="2"/>
  </cols>
  <sheetData>
    <row r="1" spans="1:7" ht="14" x14ac:dyDescent="0.15">
      <c r="A1" s="4" t="s">
        <v>55</v>
      </c>
      <c r="B1" s="4" t="s">
        <v>0</v>
      </c>
      <c r="C1" s="5" t="s">
        <v>1</v>
      </c>
      <c r="D1" s="33" t="s">
        <v>10</v>
      </c>
      <c r="E1" s="6" t="s">
        <v>45</v>
      </c>
      <c r="F1" s="7" t="s">
        <v>43</v>
      </c>
      <c r="G1" s="7" t="s">
        <v>44</v>
      </c>
    </row>
    <row r="2" spans="1:7" ht="13" customHeight="1" x14ac:dyDescent="0.15">
      <c r="A2" s="9" t="s">
        <v>56</v>
      </c>
      <c r="B2" s="9" t="s">
        <v>5</v>
      </c>
      <c r="C2" s="10" t="s">
        <v>38</v>
      </c>
      <c r="D2" s="34" t="s">
        <v>39</v>
      </c>
      <c r="E2" s="12">
        <v>10</v>
      </c>
      <c r="F2" s="13" t="s">
        <v>46</v>
      </c>
      <c r="G2" s="13" t="s">
        <v>52</v>
      </c>
    </row>
    <row r="3" spans="1:7" ht="14" x14ac:dyDescent="0.15">
      <c r="A3" s="9"/>
      <c r="B3" s="9" t="s">
        <v>48</v>
      </c>
      <c r="C3" s="10" t="s">
        <v>47</v>
      </c>
      <c r="D3" s="34"/>
      <c r="E3" s="12">
        <v>2.4700000000000002</v>
      </c>
      <c r="F3" s="13" t="s">
        <v>46</v>
      </c>
      <c r="G3" s="13" t="s">
        <v>51</v>
      </c>
    </row>
    <row r="4" spans="1:7" ht="14" x14ac:dyDescent="0.15">
      <c r="A4" s="9"/>
      <c r="B4" s="9" t="s">
        <v>48</v>
      </c>
      <c r="C4" s="10" t="s">
        <v>49</v>
      </c>
      <c r="D4" s="35"/>
      <c r="E4" s="12">
        <v>18.8</v>
      </c>
      <c r="F4" s="13" t="s">
        <v>46</v>
      </c>
      <c r="G4" s="13" t="s">
        <v>50</v>
      </c>
    </row>
    <row r="5" spans="1:7" ht="14" x14ac:dyDescent="0.15">
      <c r="A5" s="9"/>
      <c r="B5" s="9" t="s">
        <v>48</v>
      </c>
      <c r="C5" s="10" t="s">
        <v>53</v>
      </c>
      <c r="D5" s="35"/>
      <c r="E5" s="12">
        <v>4.37</v>
      </c>
      <c r="F5" s="13" t="s">
        <v>46</v>
      </c>
      <c r="G5" s="13" t="s">
        <v>54</v>
      </c>
    </row>
    <row r="6" spans="1:7" ht="14" x14ac:dyDescent="0.15">
      <c r="A6" s="9"/>
      <c r="B6" s="15" t="s">
        <v>31</v>
      </c>
      <c r="C6" s="18" t="s">
        <v>37</v>
      </c>
      <c r="D6" s="36" t="s">
        <v>35</v>
      </c>
      <c r="E6" s="12"/>
      <c r="F6" s="13"/>
      <c r="G6" s="13"/>
    </row>
    <row r="7" spans="1:7" x14ac:dyDescent="0.15">
      <c r="A7" s="9"/>
      <c r="B7" s="15"/>
      <c r="C7" s="18"/>
      <c r="D7" s="36"/>
      <c r="E7" s="17"/>
      <c r="F7" s="24"/>
      <c r="G7" s="24"/>
    </row>
    <row r="8" spans="1:7" x14ac:dyDescent="0.15">
      <c r="A8" s="9"/>
      <c r="B8" s="15"/>
      <c r="C8" s="10"/>
      <c r="D8" s="36"/>
      <c r="E8" s="12"/>
      <c r="F8" s="13"/>
      <c r="G8" s="13"/>
    </row>
    <row r="9" spans="1:7" x14ac:dyDescent="0.15">
      <c r="A9" s="9"/>
      <c r="B9" s="15"/>
      <c r="C9" s="18"/>
      <c r="D9" s="36"/>
      <c r="E9" s="17"/>
      <c r="F9" s="24"/>
      <c r="G9" s="13"/>
    </row>
    <row r="10" spans="1:7" x14ac:dyDescent="0.15">
      <c r="A10" s="9"/>
      <c r="B10" s="15"/>
      <c r="C10" s="18"/>
      <c r="D10" s="36"/>
      <c r="E10" s="17"/>
      <c r="F10" s="24"/>
      <c r="G10" s="24"/>
    </row>
    <row r="11" spans="1:7" x14ac:dyDescent="0.15">
      <c r="A11" s="9"/>
      <c r="B11" s="9"/>
      <c r="C11" s="10"/>
      <c r="D11" s="34"/>
      <c r="E11" s="12"/>
      <c r="F11" s="13"/>
      <c r="G11" s="13"/>
    </row>
    <row r="12" spans="1:7" x14ac:dyDescent="0.15">
      <c r="A12" s="9"/>
      <c r="B12" s="9"/>
      <c r="C12" s="18"/>
      <c r="D12" s="34"/>
      <c r="E12" s="12"/>
      <c r="F12" s="13"/>
      <c r="G12" s="13"/>
    </row>
    <row r="13" spans="1:7" x14ac:dyDescent="0.15">
      <c r="A13" s="9"/>
      <c r="B13" s="9"/>
      <c r="C13" s="10"/>
      <c r="D13" s="34"/>
      <c r="E13" s="12"/>
      <c r="F13" s="13"/>
      <c r="G13" s="13"/>
    </row>
    <row r="14" spans="1:7" x14ac:dyDescent="0.15">
      <c r="A14" s="9"/>
      <c r="B14" s="15"/>
      <c r="C14" s="10"/>
      <c r="D14" s="36"/>
      <c r="E14" s="12"/>
      <c r="F14" s="13"/>
      <c r="G14" s="13"/>
    </row>
    <row r="15" spans="1:7" x14ac:dyDescent="0.15">
      <c r="A15" s="9"/>
      <c r="B15" s="15"/>
      <c r="C15" s="16"/>
      <c r="D15" s="34"/>
      <c r="E15" s="17"/>
    </row>
    <row r="16" spans="1:7" x14ac:dyDescent="0.15">
      <c r="A16" s="9"/>
      <c r="B16" s="15"/>
      <c r="C16" s="16"/>
      <c r="D16" s="34"/>
      <c r="E16" s="17"/>
    </row>
    <row r="17" spans="1:7" x14ac:dyDescent="0.15">
      <c r="A17" s="9"/>
      <c r="B17" s="15"/>
      <c r="C17" s="18"/>
      <c r="D17" s="37"/>
      <c r="E17" s="17"/>
      <c r="F17" s="24"/>
      <c r="G17" s="24"/>
    </row>
    <row r="18" spans="1:7" x14ac:dyDescent="0.15">
      <c r="A18" s="29" t="s">
        <v>9</v>
      </c>
      <c r="B18" s="30"/>
      <c r="C18" s="30"/>
      <c r="D18" s="30"/>
      <c r="E18" s="30"/>
      <c r="F18" s="30"/>
      <c r="G18" s="30"/>
    </row>
    <row r="19" spans="1:7" x14ac:dyDescent="0.15">
      <c r="A19" s="29" t="s">
        <v>17</v>
      </c>
      <c r="B19" s="30"/>
      <c r="C19" s="30"/>
      <c r="D19" s="30"/>
      <c r="E19" s="30"/>
      <c r="F19" s="30"/>
      <c r="G19" s="30"/>
    </row>
    <row r="20" spans="1:7" x14ac:dyDescent="0.15">
      <c r="A20" s="29" t="s">
        <v>18</v>
      </c>
      <c r="B20" s="30"/>
      <c r="C20" s="30"/>
      <c r="D20" s="30"/>
      <c r="E20" s="30"/>
      <c r="F20" s="30"/>
      <c r="G20" s="30"/>
    </row>
    <row r="21" spans="1:7" x14ac:dyDescent="0.15">
      <c r="A21" s="31" t="s">
        <v>19</v>
      </c>
      <c r="B21" s="32"/>
      <c r="C21" s="32"/>
      <c r="D21" s="32"/>
      <c r="E21" s="32"/>
      <c r="F21" s="32"/>
      <c r="G21" s="32"/>
    </row>
  </sheetData>
  <mergeCells count="4">
    <mergeCell ref="A18:G18"/>
    <mergeCell ref="A19:G19"/>
    <mergeCell ref="A20:G20"/>
    <mergeCell ref="A21:G21"/>
  </mergeCells>
  <dataValidations count="1">
    <dataValidation type="list" allowBlank="1" showInputMessage="1" showErrorMessage="1" sqref="A2:A17" xr:uid="{8D1C5E44-926C-2E41-8998-5348B6379D9E}">
      <formula1>"BACKLOG,TODO, DOING,DONE"</formula1>
    </dataValidation>
  </dataValidations>
  <hyperlinks>
    <hyperlink ref="D6" r:id="rId1" xr:uid="{1A615F68-792D-1B42-B320-814A7CB7D62A}"/>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Project Aura BOM and Cost Analy</vt:lpstr>
      <vt:lpstr>Printing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Wanghley Soares Martins (he/him/his)</cp:lastModifiedBy>
  <dcterms:modified xsi:type="dcterms:W3CDTF">2026-02-07T19:17:53Z</dcterms:modified>
</cp:coreProperties>
</file>